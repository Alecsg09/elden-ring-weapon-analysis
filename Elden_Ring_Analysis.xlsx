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s\OneDrive\Área de Trabalho\Projeto Elden Ring\"/>
    </mc:Choice>
  </mc:AlternateContent>
  <xr:revisionPtr revIDLastSave="0" documentId="8_{19219669-79EE-4676-A78D-44E4376C98A2}" xr6:coauthVersionLast="47" xr6:coauthVersionMax="47" xr10:uidLastSave="{00000000-0000-0000-0000-000000000000}"/>
  <bookViews>
    <workbookView xWindow="-108" yWindow="-108" windowWidth="23256" windowHeight="12456" xr2:uid="{779051B2-042D-4AAE-A8DC-E24F320A1036}"/>
  </bookViews>
  <sheets>
    <sheet name="Planilha2" sheetId="2" r:id="rId1"/>
    <sheet name="Planilha1" sheetId="1" r:id="rId2"/>
  </sheets>
  <definedNames>
    <definedName name="_xlnm._FilterDatabase" localSheetId="1" hidden="1">Planilha1!$A$1:$E$1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<sst xmlns="http://schemas.openxmlformats.org/spreadsheetml/2006/main" count="26" uniqueCount="20">
  <si>
    <t>Nome da Arma</t>
  </si>
  <si>
    <t>Tipo</t>
  </si>
  <si>
    <t>Dano Base</t>
  </si>
  <si>
    <t>Peso</t>
  </si>
  <si>
    <t>Atributo Principal</t>
  </si>
  <si>
    <t>Longsword</t>
  </si>
  <si>
    <t>Straight Sword</t>
  </si>
  <si>
    <t>Strength</t>
  </si>
  <si>
    <t>Uchigatana</t>
  </si>
  <si>
    <t>Katana</t>
  </si>
  <si>
    <t>Dexterity</t>
  </si>
  <si>
    <t>Greatsword</t>
  </si>
  <si>
    <t>Colossal Sword</t>
  </si>
  <si>
    <t>Reduvia</t>
  </si>
  <si>
    <t>Dagger</t>
  </si>
  <si>
    <t>Claymore</t>
  </si>
  <si>
    <t>Eficiência</t>
  </si>
  <si>
    <t>Rótulos de Linha</t>
  </si>
  <si>
    <t>Total Geral</t>
  </si>
  <si>
    <t>Média de 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</si>
</sst>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2" borderId="1" xfId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2" fillId="2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2" fillId="2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Armas por Eficiência</a:t>
            </a:r>
            <a:r>
              <a:rPr lang="en-US" baseline="0"/>
              <a:t> Dano/Peso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Planilha1!$F$1</c:f>
              <c:strCache>
                <c:ptCount val="1"/>
                <c:pt idx="0">
                  <c:v>Eficiência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Planilha1!$A$2:$A$7</c:f>
              <c:strCache>
                <c:ptCount val="5"/>
                <c:pt idx="0">
                  <c:v>Greatsword</c:v>
                </c:pt>
                <c:pt idx="1">
                  <c:v>Claymore</c:v>
                </c:pt>
                <c:pt idx="2">
                  <c:v>Uchigatana</c:v>
                </c:pt>
                <c:pt idx="3">
                  <c:v>Longsword</c:v>
                </c:pt>
                <c:pt idx="4">
                  <c:v>Reduvia</c:v>
                </c:pt>
              </c:strCache>
            </c:strRef>
          </c:cat>
          <c:val>
            <c:numRef>
              <c:f>Planilha1!$F$2:$F$7</c:f>
              <c:numCache>
                <c:formatCode>General</c:formatCode>
                <c:ptCount val="6"/>
                <c:pt idx="0">
                  <c:v>7.1304347826086953</c:v>
                </c:pt>
                <c:pt idx="1">
                  <c:v>15.333333333333334</c:v>
                </c:pt>
                <c:pt idx="2">
                  <c:v>20.90909090909091</c:v>
                </c:pt>
                <c:pt idx="3">
                  <c:v>31.428571428571427</c:v>
                </c:pt>
                <c:pt idx="4">
                  <c:v>31.6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B-47A0-93B1-0BD91D336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0880976"/>
        <c:axId val="1370864656"/>
      </c:barChart>
      <c:catAx>
        <c:axId val="137088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0864656"/>
        <c:crosses val="autoZero"/>
        <c:auto val="1"/>
        <c:lblAlgn val="ctr"/>
        <c:lblOffset val="100"/>
        <c:noMultiLvlLbl val="0"/>
      </c:catAx>
      <c:valAx>
        <c:axId val="137086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088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0</xdr:rowOff>
    </xdr:from>
    <xdr:to>
      <xdr:col>13</xdr:col>
      <xdr:colOff>472440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6BFC32-C57D-8E8E-A7B2-68DDE9DAA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csander Gomes" refreshedDate="46043.385950694443" createdVersion="8" refreshedVersion="8" minRefreshableVersion="3" recordCount="5" xr:uid="{2932E5C3-8FBC-44AB-9C54-C3CE7206CEFF}">
  <cacheSource type="worksheet">
    <worksheetSource ref="A1:F6" sheet="Planilha1"/>
  </cacheSource>
  <cacheFields count="6">
    <cacheField name="Nome da Arma" numFmtId="0">
      <sharedItems/>
    </cacheField>
    <cacheField name="Tipo" numFmtId="0">
      <sharedItems/>
    </cacheField>
    <cacheField name="Dano Base" numFmtId="1">
      <sharedItems containsSemiMixedTypes="0" containsString="0" containsNumber="1" containsInteger="1" minValue="79" maxValue="164"/>
    </cacheField>
    <cacheField name="Peso" numFmtId="164">
      <sharedItems containsSemiMixedTypes="0" containsString="0" containsNumber="1" minValue="2.5" maxValue="23"/>
    </cacheField>
    <cacheField name="Atributo Principal" numFmtId="0">
      <sharedItems count="2">
        <s v="Strength"/>
        <s v="Dexterity"/>
      </sharedItems>
    </cacheField>
    <cacheField name="Eficiência" numFmtId="0">
      <sharedItems containsSemiMixedTypes="0" containsString="0" containsNumber="1" minValue="7.1304347826086953" maxValue="31.6" count="5">
        <n v="7.1304347826086953"/>
        <n v="15.333333333333334"/>
        <n v="20.90909090909091"/>
        <n v="31.428571428571427"/>
        <n v="31.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Greatsword"/>
    <s v="Colossal Sword"/>
    <n v="164"/>
    <n v="23"/>
    <x v="0"/>
    <x v="0"/>
  </r>
  <r>
    <s v="Claymore"/>
    <s v="Greatsword"/>
    <n v="138"/>
    <n v="9"/>
    <x v="0"/>
    <x v="1"/>
  </r>
  <r>
    <s v="Uchigatana"/>
    <s v="Katana"/>
    <n v="115"/>
    <n v="5.5"/>
    <x v="1"/>
    <x v="2"/>
  </r>
  <r>
    <s v="Longsword"/>
    <s v="Straight Sword"/>
    <n v="110"/>
    <n v="3.5"/>
    <x v="0"/>
    <x v="3"/>
  </r>
  <r>
    <s v="Reduvia"/>
    <s v="Dagger"/>
    <n v="79"/>
    <n v="2.5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78A4D-DD18-40F0-BF9E-6594B3F54E29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6">
    <pivotField showAll="0"/>
    <pivotField showAll="0"/>
    <pivotField numFmtId="1" showAll="0"/>
    <pivotField numFmtId="164" showAll="0"/>
    <pivotField axis="axisRow" showAll="0">
      <items count="3">
        <item x="1"/>
        <item x="0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Média de Eficiência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A6F5-0D98-4189-AB33-122CAC4CA773}">
  <dimension ref="A3:B6"/>
  <sheetViews>
    <sheetView tabSelected="1" workbookViewId="0">
      <selection activeCell="B3" sqref="B3"/>
    </sheetView>
  </sheetViews>
  <sheetFormatPr defaultRowHeight="14.4" x14ac:dyDescent="0.3"/>
  <cols>
    <col min="1" max="1" width="16.77734375" bestFit="1" customWidth="1"/>
    <col min="2" max="2" width="17.33203125" bestFit="1" customWidth="1"/>
  </cols>
  <sheetData>
    <row r="3" spans="1:2" x14ac:dyDescent="0.3">
      <c r="A3" s="8" t="s">
        <v>17</v>
      </c>
      <c r="B3" t="s">
        <v>19</v>
      </c>
    </row>
    <row r="4" spans="1:2" x14ac:dyDescent="0.3">
      <c r="A4" s="9" t="s">
        <v>10</v>
      </c>
      <c r="B4" s="10">
        <v>26.254545454545458</v>
      </c>
    </row>
    <row r="5" spans="1:2" x14ac:dyDescent="0.3">
      <c r="A5" s="9" t="s">
        <v>7</v>
      </c>
      <c r="B5" s="10">
        <v>17.964113181504487</v>
      </c>
    </row>
    <row r="6" spans="1:2" x14ac:dyDescent="0.3">
      <c r="A6" s="9" t="s">
        <v>18</v>
      </c>
      <c r="B6" s="10">
        <v>21.280286090720875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DAD8-47C3-4F61-978B-BE84A2B9FF13}">
  <dimension ref="A1:F6"/>
  <sheetViews>
    <sheetView workbookViewId="0">
      <selection sqref="A1:F6"/>
    </sheetView>
  </sheetViews>
  <sheetFormatPr defaultRowHeight="14.4" x14ac:dyDescent="0.3"/>
  <cols>
    <col min="1" max="1" width="17.77734375" style="3" bestFit="1" customWidth="1"/>
    <col min="2" max="2" width="13.33203125" style="3" bestFit="1" customWidth="1"/>
    <col min="3" max="3" width="14" style="7" bestFit="1" customWidth="1"/>
    <col min="4" max="4" width="9.44140625" style="5" bestFit="1" customWidth="1"/>
    <col min="5" max="5" width="20.21875" style="3" bestFit="1" customWidth="1"/>
    <col min="6" max="6" width="9.21875" style="2" bestFit="1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6" t="s">
        <v>2</v>
      </c>
      <c r="D1" s="4" t="s">
        <v>3</v>
      </c>
      <c r="E1" s="1" t="s">
        <v>4</v>
      </c>
      <c r="F1" s="1" t="s">
        <v>16</v>
      </c>
    </row>
    <row r="2" spans="1:6" x14ac:dyDescent="0.3">
      <c r="A2" s="3" t="s">
        <v>11</v>
      </c>
      <c r="B2" s="3" t="s">
        <v>12</v>
      </c>
      <c r="C2" s="7">
        <v>164</v>
      </c>
      <c r="D2" s="5">
        <v>23</v>
      </c>
      <c r="E2" s="3" t="s">
        <v>7</v>
      </c>
      <c r="F2" s="2">
        <f>C2/D2</f>
        <v>7.1304347826086953</v>
      </c>
    </row>
    <row r="3" spans="1:6" x14ac:dyDescent="0.3">
      <c r="A3" s="3" t="s">
        <v>15</v>
      </c>
      <c r="B3" s="3" t="s">
        <v>11</v>
      </c>
      <c r="C3" s="7">
        <v>138</v>
      </c>
      <c r="D3" s="5">
        <v>9</v>
      </c>
      <c r="E3" s="3" t="s">
        <v>7</v>
      </c>
      <c r="F3" s="2">
        <f t="shared" ref="F3:F6" si="0">C3/D3</f>
        <v>15.333333333333334</v>
      </c>
    </row>
    <row r="4" spans="1:6" x14ac:dyDescent="0.3">
      <c r="A4" s="3" t="s">
        <v>8</v>
      </c>
      <c r="B4" s="3" t="s">
        <v>9</v>
      </c>
      <c r="C4" s="7">
        <v>115</v>
      </c>
      <c r="D4" s="5">
        <v>5.5</v>
      </c>
      <c r="E4" s="3" t="s">
        <v>10</v>
      </c>
      <c r="F4" s="2">
        <f t="shared" si="0"/>
        <v>20.90909090909091</v>
      </c>
    </row>
    <row r="5" spans="1:6" x14ac:dyDescent="0.3">
      <c r="A5" s="3" t="s">
        <v>5</v>
      </c>
      <c r="B5" s="3" t="s">
        <v>6</v>
      </c>
      <c r="C5" s="7">
        <v>110</v>
      </c>
      <c r="D5" s="5">
        <v>3.5</v>
      </c>
      <c r="E5" s="3" t="s">
        <v>7</v>
      </c>
      <c r="F5" s="2">
        <f t="shared" si="0"/>
        <v>31.428571428571427</v>
      </c>
    </row>
    <row r="6" spans="1:6" x14ac:dyDescent="0.3">
      <c r="A6" s="3" t="s">
        <v>13</v>
      </c>
      <c r="B6" s="3" t="s">
        <v>14</v>
      </c>
      <c r="C6" s="7">
        <v>79</v>
      </c>
      <c r="D6" s="5">
        <v>2.5</v>
      </c>
      <c r="E6" s="3" t="s">
        <v>10</v>
      </c>
      <c r="F6" s="2">
        <f t="shared" si="0"/>
        <v>31.6</v>
      </c>
    </row>
  </sheetData>
  <autoFilter ref="A1:E1" xr:uid="{0ECCDAD8-47C3-4F61-978B-BE84A2B9FF13}">
    <sortState xmlns:xlrd2="http://schemas.microsoft.com/office/spreadsheetml/2017/richdata2" ref="A2:E6">
      <sortCondition descending="1" ref="C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Alecsander Gomes</dc:creator>
  <cp:lastModifiedBy>Alecsander Gomes</cp:lastModifiedBy>
  <dcterms:created xsi:type="dcterms:W3CDTF">2026-01-21T12:04:31Z</dcterms:created>
  <dcterms:modified xsi:type="dcterms:W3CDTF">2026-01-21T12:39:27Z</dcterms:modified>
</cp:coreProperties>
</file>